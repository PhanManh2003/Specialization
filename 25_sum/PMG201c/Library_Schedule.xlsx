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>
    <definedName name="valuevx">42.314159</definedName>
    <definedName name="vertex42_copyright">"© 2017 Vertex42 LLC"</definedName>
    <definedName name="vertex42_id">"work-breakdown-structure.xlsx"</definedName>
    <definedName name="vertex42_title">"Work Breakdown Structure Template"</definedName>
  </definedNames>
  <calcPr/>
  <extLst>
    <ext uri="GoogleSheetsCustomDataVersion2">
      <go:sheetsCustomData xmlns:go="http://customooxmlschemas.google.com/" r:id="rId5" roundtripDataChecksum="OGBg5/kozQcpQ7wFISlL2I4W2eZbYbdTb9XylKk05eY="/>
    </ext>
  </extLst>
</workbook>
</file>

<file path=xl/sharedStrings.xml><?xml version="1.0" encoding="utf-8"?>
<sst xmlns="http://schemas.openxmlformats.org/spreadsheetml/2006/main" count="193" uniqueCount="129">
  <si>
    <t>Work Breakdown Structure</t>
  </si>
  <si>
    <t>Library Management</t>
  </si>
  <si>
    <t>Project Start</t>
  </si>
  <si>
    <t>Level</t>
  </si>
  <si>
    <t>WBS</t>
  </si>
  <si>
    <t>Task Description</t>
  </si>
  <si>
    <t>Predecessor</t>
  </si>
  <si>
    <t>Assigned To</t>
  </si>
  <si>
    <t>Start</t>
  </si>
  <si>
    <t>End</t>
  </si>
  <si>
    <t>Duration</t>
  </si>
  <si>
    <t>Notes</t>
  </si>
  <si>
    <t>Phase 1: Initiate project</t>
  </si>
  <si>
    <t>Creat project charter</t>
  </si>
  <si>
    <t>Hoaibm</t>
  </si>
  <si>
    <t>Creat project plan</t>
  </si>
  <si>
    <t>1.1</t>
  </si>
  <si>
    <t>Phase 2: Analyse requirement</t>
  </si>
  <si>
    <t>Elicitation</t>
  </si>
  <si>
    <t>NgaTT</t>
  </si>
  <si>
    <t>Libararian survey</t>
  </si>
  <si>
    <t>Student survey</t>
  </si>
  <si>
    <t>Document</t>
  </si>
  <si>
    <t>Draw wireframe</t>
  </si>
  <si>
    <t>2.1</t>
  </si>
  <si>
    <t>2.2.2</t>
  </si>
  <si>
    <t xml:space="preserve">Write SRS </t>
  </si>
  <si>
    <t>2.3</t>
  </si>
  <si>
    <t>Review + update  SRS</t>
  </si>
  <si>
    <t>2.2.1, 2.2.2</t>
  </si>
  <si>
    <t>NgaTT, HoaiBM, Duy OT</t>
  </si>
  <si>
    <t>Phase 3: Design</t>
  </si>
  <si>
    <t>Design UI</t>
  </si>
  <si>
    <t>2.2.1</t>
  </si>
  <si>
    <t>AnhND</t>
  </si>
  <si>
    <t>Design DB</t>
  </si>
  <si>
    <t>DuyOT</t>
  </si>
  <si>
    <t>3.3</t>
  </si>
  <si>
    <t>Design architecture system</t>
  </si>
  <si>
    <t>3.4</t>
  </si>
  <si>
    <t>Review DB, Architecture system</t>
  </si>
  <si>
    <t>3.2, 3.3</t>
  </si>
  <si>
    <t>DuyOT, HoaiBM, NgaTT</t>
  </si>
  <si>
    <t>Phase 4: Implementation</t>
  </si>
  <si>
    <t>Inter 1</t>
  </si>
  <si>
    <t>4.1.1</t>
  </si>
  <si>
    <t>Account Management</t>
  </si>
  <si>
    <t>3.1, 3.2, 3.3</t>
  </si>
  <si>
    <t>AnhH</t>
  </si>
  <si>
    <t>4.1.1.1</t>
  </si>
  <si>
    <t xml:space="preserve">     Login</t>
  </si>
  <si>
    <t>Logout</t>
  </si>
  <si>
    <t xml:space="preserve">    Register account</t>
  </si>
  <si>
    <t>4.1.1.4</t>
  </si>
  <si>
    <t xml:space="preserve">    View profile</t>
  </si>
  <si>
    <t xml:space="preserve">   Update profile</t>
  </si>
  <si>
    <t>View account list</t>
  </si>
  <si>
    <t xml:space="preserve">   View accout detail</t>
  </si>
  <si>
    <t>4.1.2</t>
  </si>
  <si>
    <t>Book Management</t>
  </si>
  <si>
    <t>TuanH</t>
  </si>
  <si>
    <t>4.1.2.1</t>
  </si>
  <si>
    <t xml:space="preserve">     View book list</t>
  </si>
  <si>
    <t>View book detail</t>
  </si>
  <si>
    <t xml:space="preserve">     Search book</t>
  </si>
  <si>
    <t xml:space="preserve">     Add book</t>
  </si>
  <si>
    <t xml:space="preserve">    Update book</t>
  </si>
  <si>
    <t>Delete book</t>
  </si>
  <si>
    <t>4.1.3</t>
  </si>
  <si>
    <t>Fix bug release 1</t>
  </si>
  <si>
    <t>AnhH, TuanH</t>
  </si>
  <si>
    <t>4.2</t>
  </si>
  <si>
    <t>Inter 2</t>
  </si>
  <si>
    <t>4.2.1</t>
  </si>
  <si>
    <t>Borrow book</t>
  </si>
  <si>
    <t>4.2.1.1</t>
  </si>
  <si>
    <t xml:space="preserve">     Add book to cart</t>
  </si>
  <si>
    <t>View cart</t>
  </si>
  <si>
    <t xml:space="preserve">    Creat ticket borrow book</t>
  </si>
  <si>
    <t xml:space="preserve">    Approve borrow book</t>
  </si>
  <si>
    <t xml:space="preserve">   View borrowed book list</t>
  </si>
  <si>
    <t>Update ticket borrow book</t>
  </si>
  <si>
    <t xml:space="preserve">   Delete ticket borrow book</t>
  </si>
  <si>
    <t>4.2.2</t>
  </si>
  <si>
    <t>Return book</t>
  </si>
  <si>
    <t>4.2.2.1</t>
  </si>
  <si>
    <t xml:space="preserve">     Confirm return book</t>
  </si>
  <si>
    <t xml:space="preserve">   View returned book list</t>
  </si>
  <si>
    <t>Rate and comment</t>
  </si>
  <si>
    <t>4.2.3.1</t>
  </si>
  <si>
    <t xml:space="preserve">   Creat rate</t>
  </si>
  <si>
    <t xml:space="preserve">   Creat comment</t>
  </si>
  <si>
    <t>View comment</t>
  </si>
  <si>
    <t>4.2.3</t>
  </si>
  <si>
    <t>Fix bug release 2</t>
  </si>
  <si>
    <t>Phase 5: Testing</t>
  </si>
  <si>
    <t>5.1</t>
  </si>
  <si>
    <t>Creat Test plan</t>
  </si>
  <si>
    <t>1.1, 1.2</t>
  </si>
  <si>
    <t>5.2</t>
  </si>
  <si>
    <t>Write testcase</t>
  </si>
  <si>
    <t>5.3</t>
  </si>
  <si>
    <t>Implement test release 1</t>
  </si>
  <si>
    <t>4.1</t>
  </si>
  <si>
    <t>5.4</t>
  </si>
  <si>
    <t>Implement test release 2</t>
  </si>
  <si>
    <t>5.5</t>
  </si>
  <si>
    <t>Implement testing in all function</t>
  </si>
  <si>
    <t>4.1.3, 4.2.3</t>
  </si>
  <si>
    <t>5.6</t>
  </si>
  <si>
    <t xml:space="preserve">UAT User Acceptance Test </t>
  </si>
  <si>
    <t>Phase 6: Deployment</t>
  </si>
  <si>
    <t>6.1</t>
  </si>
  <si>
    <t>Buy server, test device</t>
  </si>
  <si>
    <t>MinhTT</t>
  </si>
  <si>
    <t>6.2</t>
  </si>
  <si>
    <t>Setting server</t>
  </si>
  <si>
    <t>HaiDT</t>
  </si>
  <si>
    <t>6.3</t>
  </si>
  <si>
    <t xml:space="preserve">Deploy code release 1 in staging enviroment </t>
  </si>
  <si>
    <t>6.2, 4.1</t>
  </si>
  <si>
    <r>
      <rPr>
        <rFont val="MS PGothic"/>
        <color theme="1"/>
        <sz val="11.0"/>
      </rPr>
      <t>Testing in staging</t>
    </r>
    <r>
      <rPr>
        <rFont val="Calibri"/>
        <color theme="1"/>
        <sz val="11.0"/>
      </rPr>
      <t xml:space="preserve"> </t>
    </r>
    <r>
      <rPr>
        <rFont val="ＭＳ Ｐゴシック"/>
        <color theme="1"/>
        <sz val="11.0"/>
      </rPr>
      <t xml:space="preserve"> enviroment</t>
    </r>
  </si>
  <si>
    <t>6.4</t>
  </si>
  <si>
    <t xml:space="preserve">Deploy code release 2 in staging enviroment </t>
  </si>
  <si>
    <t>6.2, 4.2</t>
  </si>
  <si>
    <t>6.5</t>
  </si>
  <si>
    <t xml:space="preserve">Deploy code in product enviroment </t>
  </si>
  <si>
    <t>6.6</t>
  </si>
  <si>
    <t>Testing in product enviroment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</si>
</sst>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dd\,\ mmm\ d\,\ yyyy"/>
    <numFmt numFmtId="165" formatCode="d"/>
    <numFmt numFmtId="166" formatCode="0.0"/>
  </numFmts>
  <fonts count="17">
    <font>
      <sz val="10.0"/>
      <color rgb="FF000000"/>
      <name val="Arial"/>
      <scheme val="minor"/>
    </font>
    <font>
      <sz val="11.0"/>
      <color theme="1"/>
      <name val="Arial"/>
    </font>
    <font>
      <sz val="20.0"/>
      <color rgb="FF003366"/>
      <name val="MS PGothic"/>
    </font>
    <font>
      <sz val="11.0"/>
      <color theme="1"/>
      <name val="MS PGothic"/>
    </font>
    <font>
      <sz val="20.0"/>
      <color rgb="FF3F3F3F"/>
      <name val="MS PGothic"/>
    </font>
    <font>
      <b/>
      <sz val="11.0"/>
      <color theme="1"/>
      <name val="Arial"/>
    </font>
    <font>
      <sz val="8.0"/>
      <color rgb="FF7F7F7F"/>
      <name val="Arial"/>
    </font>
    <font>
      <b/>
      <sz val="11.0"/>
      <color theme="0"/>
      <name val="MS PGothic"/>
    </font>
    <font>
      <b/>
      <sz val="11.0"/>
      <color theme="1"/>
      <name val="MS PGothic"/>
    </font>
    <font>
      <sz val="9.0"/>
      <color rgb="FF7F7F7F"/>
      <name val="MS PGothic"/>
    </font>
    <font>
      <u/>
      <sz val="10.0"/>
      <color rgb="FF0000FF"/>
      <name val="Arial"/>
    </font>
    <font>
      <b/>
      <sz val="10.0"/>
      <color theme="4"/>
      <name val="Arial"/>
    </font>
    <font>
      <u/>
      <sz val="10.0"/>
      <color rgb="FF0000FF"/>
      <name val="Arial"/>
    </font>
    <font>
      <b/>
      <sz val="11.0"/>
      <color rgb="FF244061"/>
      <name val="MS PGothic"/>
    </font>
    <font>
      <sz val="11.0"/>
      <color rgb="FF366092"/>
      <name val="Arial"/>
    </font>
    <font>
      <sz val="11.0"/>
      <color rgb="FF366092"/>
      <name val="Trebuchet MS"/>
    </font>
    <font>
      <sz val="10.0"/>
      <color rgb="FF366092"/>
      <name val="Trebuchet MS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</fills>
  <borders count="22">
    <border/>
    <border>
      <left/>
      <right/>
      <top/>
      <bottom/>
    </border>
    <border>
      <left style="medium">
        <color theme="4"/>
      </left>
      <right/>
      <top style="medium">
        <color theme="4"/>
      </top>
      <bottom style="medium">
        <color theme="4"/>
      </bottom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</border>
    <border>
      <left style="medium">
        <color rgb="FF366092"/>
      </left>
      <right style="thin">
        <color rgb="FF366092"/>
      </right>
      <top style="medium">
        <color rgb="FF366092"/>
      </top>
      <bottom style="thin">
        <color rgb="FFBFBFBF"/>
      </bottom>
    </border>
    <border>
      <left style="thin">
        <color rgb="FF366092"/>
      </left>
      <right style="thin">
        <color rgb="FF366092"/>
      </right>
      <top style="medium">
        <color rgb="FF366092"/>
      </top>
      <bottom style="thin">
        <color rgb="FFBFBFBF"/>
      </bottom>
    </border>
    <border>
      <left style="thin">
        <color rgb="FF366092"/>
      </left>
      <right/>
      <top style="medium">
        <color rgb="FF366092"/>
      </top>
      <bottom style="thin">
        <color rgb="FFBFBFBF"/>
      </bottom>
    </border>
    <border>
      <left style="thin">
        <color rgb="FF366092"/>
      </left>
      <right style="medium">
        <color rgb="FF366092"/>
      </right>
      <top style="medium">
        <color rgb="FF366092"/>
      </top>
      <bottom style="thin">
        <color rgb="FFBFBFBF"/>
      </bottom>
    </border>
    <border>
      <left style="medium">
        <color rgb="FF7F7F7F"/>
      </left>
      <right style="thin">
        <color rgb="FF7F7F7F"/>
      </right>
      <top/>
      <bottom style="thin">
        <color rgb="FFBFBFBF"/>
      </bottom>
    </border>
    <border>
      <left style="thin">
        <color rgb="FF7F7F7F"/>
      </left>
      <right style="thin">
        <color rgb="FF7F7F7F"/>
      </right>
      <top/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A5A5A5"/>
      </right>
      <bottom style="thin">
        <color rgb="FFBFBFBF"/>
      </bottom>
    </border>
    <border>
      <left style="thin">
        <color rgb="FFA5A5A5"/>
      </left>
      <right style="thin">
        <color rgb="FFA5A5A5"/>
      </right>
      <bottom style="thin">
        <color rgb="FFBFBFBF"/>
      </bottom>
    </border>
    <border>
      <left style="thin">
        <color rgb="FFA5A5A5"/>
      </left>
      <bottom style="thin">
        <color rgb="FFBFBFBF"/>
      </bottom>
    </border>
    <border>
      <left style="thin">
        <color rgb="FFA5A5A5"/>
      </left>
      <right style="medium">
        <color rgb="FF7F7F7F"/>
      </right>
      <top style="thin">
        <color rgb="FFBFBFBF"/>
      </top>
      <bottom style="thin">
        <color rgb="FFBFBFBF"/>
      </bottom>
    </border>
    <border>
      <left style="medium">
        <color rgb="FF7F7F7F"/>
      </left>
      <right style="thin">
        <color rgb="FF7F7F7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medium">
        <color rgb="FF7F7F7F"/>
      </right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BFBFBF"/>
      </top>
      <bottom style="thin">
        <color rgb="FFBFBFBF"/>
      </bottom>
    </border>
    <border>
      <left/>
      <right/>
      <top/>
      <bottom style="thin">
        <color rgb="FFBFBFBF"/>
      </bottom>
    </border>
    <border>
      <left style="thin">
        <color rgb="FFBFBFBF"/>
      </left>
      <right style="thin">
        <color rgb="FFA5A5A5"/>
      </right>
      <top/>
      <bottom style="thin">
        <color rgb="FFBFBFBF"/>
      </bottom>
    </border>
    <border>
      <left style="thin">
        <color rgb="FFA5A5A5"/>
      </left>
      <right/>
      <top/>
      <bottom style="thin">
        <color rgb="FFBFBFBF"/>
      </bottom>
    </border>
    <border>
      <left style="thin">
        <color rgb="FFA5A5A5"/>
      </left>
      <right style="medium">
        <color rgb="FF7F7F7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3" numFmtId="0" xfId="0" applyBorder="1" applyFont="1"/>
    <xf borderId="1" fillId="2" fontId="4" numFmtId="0" xfId="0" applyAlignment="1" applyBorder="1" applyFont="1">
      <alignment horizontal="right" vertical="center"/>
    </xf>
    <xf borderId="0" fillId="0" fontId="1" numFmtId="0" xfId="0" applyFont="1"/>
    <xf borderId="1" fillId="2" fontId="5" numFmtId="0" xfId="0" applyBorder="1" applyFont="1"/>
    <xf borderId="0" fillId="0" fontId="6" numFmtId="0" xfId="0" applyAlignment="1" applyFont="1">
      <alignment vertical="top"/>
    </xf>
    <xf borderId="2" fillId="3" fontId="7" numFmtId="0" xfId="0" applyAlignment="1" applyBorder="1" applyFill="1" applyFont="1">
      <alignment horizontal="right" vertical="center"/>
    </xf>
    <xf borderId="3" fillId="0" fontId="8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right" vertical="center"/>
    </xf>
    <xf borderId="0" fillId="0" fontId="10" numFmtId="0" xfId="0" applyAlignment="1" applyFont="1">
      <alignment vertical="top"/>
    </xf>
    <xf borderId="1" fillId="2" fontId="1" numFmtId="14" xfId="0" applyBorder="1" applyFont="1" applyNumberFormat="1"/>
    <xf borderId="0" fillId="0" fontId="11" numFmtId="0" xfId="0" applyAlignment="1" applyFont="1">
      <alignment vertical="top"/>
    </xf>
    <xf borderId="1" fillId="2" fontId="1" numFmtId="0" xfId="0" applyAlignment="1" applyBorder="1" applyFont="1">
      <alignment horizontal="center" textRotation="90"/>
    </xf>
    <xf borderId="4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7" fillId="3" fontId="7" numFmtId="0" xfId="0" applyAlignment="1" applyBorder="1" applyFont="1">
      <alignment horizontal="center" vertical="center"/>
    </xf>
    <xf borderId="0" fillId="0" fontId="12" numFmtId="0" xfId="0" applyFont="1"/>
    <xf borderId="8" fillId="4" fontId="13" numFmtId="0" xfId="0" applyAlignment="1" applyBorder="1" applyFill="1" applyFont="1">
      <alignment horizontal="center" shrinkToFit="0" vertical="center" wrapText="1"/>
    </xf>
    <xf borderId="9" fillId="5" fontId="3" numFmtId="0" xfId="0" applyAlignment="1" applyBorder="1" applyFill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12" fillId="0" fontId="3" numFmtId="14" xfId="0" applyAlignment="1" applyBorder="1" applyFont="1" applyNumberFormat="1">
      <alignment horizontal="center" vertical="center"/>
    </xf>
    <xf borderId="13" fillId="0" fontId="3" numFmtId="166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left" vertical="center"/>
    </xf>
    <xf borderId="15" fillId="4" fontId="1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left" vertical="center"/>
    </xf>
    <xf borderId="17" fillId="0" fontId="3" numFmtId="14" xfId="0" applyAlignment="1" applyBorder="1" applyFont="1" applyNumberFormat="1">
      <alignment horizontal="center" vertical="center"/>
    </xf>
    <xf borderId="13" fillId="0" fontId="3" numFmtId="1" xfId="0" applyAlignment="1" applyBorder="1" applyFont="1" applyNumberFormat="1">
      <alignment horizontal="center" vertical="center"/>
    </xf>
    <xf borderId="0" fillId="0" fontId="15" numFmtId="0" xfId="0" applyFont="1"/>
    <xf borderId="0" fillId="0" fontId="16" numFmtId="0" xfId="0" applyFont="1"/>
    <xf borderId="10" fillId="0" fontId="3" numFmtId="0" xfId="0" applyAlignment="1" applyBorder="1" applyFont="1">
      <alignment vertical="center"/>
    </xf>
    <xf borderId="9" fillId="4" fontId="3" numFmtId="0" xfId="0" applyAlignment="1" applyBorder="1" applyFont="1">
      <alignment horizontal="left" vertical="center"/>
    </xf>
    <xf borderId="18" fillId="4" fontId="3" numFmtId="0" xfId="0" applyAlignment="1" applyBorder="1" applyFont="1">
      <alignment horizontal="left" vertical="center"/>
    </xf>
    <xf borderId="19" fillId="4" fontId="3" numFmtId="0" xfId="0" applyAlignment="1" applyBorder="1" applyFont="1">
      <alignment horizontal="left" vertical="center"/>
    </xf>
    <xf borderId="17" fillId="4" fontId="3" numFmtId="14" xfId="0" applyAlignment="1" applyBorder="1" applyFont="1" applyNumberFormat="1">
      <alignment horizontal="center" vertical="center"/>
    </xf>
    <xf borderId="20" fillId="4" fontId="3" numFmtId="166" xfId="0" applyAlignment="1" applyBorder="1" applyFont="1" applyNumberFormat="1">
      <alignment horizontal="center" vertical="center"/>
    </xf>
    <xf borderId="21" fillId="4" fontId="3" numFmtId="0" xfId="0" applyAlignment="1" applyBorder="1" applyFont="1">
      <alignment horizontal="left" vertical="center"/>
    </xf>
    <xf borderId="13" fillId="0" fontId="3" numFmtId="14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left" readingOrder="0" vertical="center"/>
    </xf>
    <xf borderId="1" fillId="2" fontId="1" numFmtId="1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8CCE4"/>
          <bgColor rgb="FFB8CC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8.38"/>
    <col customWidth="1" min="3" max="3" width="34.38"/>
    <col customWidth="1" min="4" max="4" width="37.5"/>
    <col customWidth="1" min="5" max="5" width="15.38"/>
    <col customWidth="1" min="6" max="6" width="16.38"/>
    <col customWidth="1" min="7" max="9" width="12.88"/>
    <col customWidth="1" min="10" max="10" width="31.0"/>
    <col customWidth="1" min="11" max="11" width="2.0"/>
    <col customWidth="1" min="12" max="12" width="7.38"/>
    <col customWidth="1" min="13" max="13" width="24.38"/>
    <col customWidth="1" min="14" max="26" width="3.88"/>
  </cols>
  <sheetData>
    <row r="1" ht="33.75" customHeight="1">
      <c r="A1" s="1"/>
      <c r="B1" s="2" t="s">
        <v>0</v>
      </c>
      <c r="C1" s="3"/>
      <c r="D1" s="3"/>
      <c r="E1" s="3"/>
      <c r="F1" s="3"/>
      <c r="G1" s="3"/>
      <c r="H1" s="1"/>
      <c r="I1" s="1"/>
      <c r="J1" s="4" t="s">
        <v>1</v>
      </c>
      <c r="K1" s="1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8"/>
      <c r="C3" s="8" t="s">
        <v>2</v>
      </c>
      <c r="D3" s="9">
        <v>45255.0</v>
      </c>
      <c r="E3" s="10"/>
      <c r="F3" s="10"/>
      <c r="G3" s="1"/>
      <c r="H3" s="1"/>
      <c r="I3" s="1"/>
      <c r="J3" s="11"/>
      <c r="K3" s="1"/>
      <c r="L3" s="1"/>
      <c r="M3" s="1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3"/>
      <c r="E4" s="13"/>
      <c r="F4" s="13"/>
      <c r="G4" s="1"/>
      <c r="H4" s="1"/>
      <c r="I4" s="1"/>
      <c r="J4" s="13"/>
      <c r="K4" s="1"/>
      <c r="L4" s="5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15"/>
      <c r="B5" s="16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8" t="s">
        <v>8</v>
      </c>
      <c r="H5" s="18" t="s">
        <v>9</v>
      </c>
      <c r="I5" s="19" t="s">
        <v>10</v>
      </c>
      <c r="J5" s="20" t="s">
        <v>11</v>
      </c>
      <c r="K5" s="15"/>
      <c r="L5" s="15"/>
      <c r="M5" s="2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1.0" customHeight="1">
      <c r="A6" s="1"/>
      <c r="B6" s="22">
        <v>1.0</v>
      </c>
      <c r="C6" s="23" t="str">
        <f t="shared" ref="C6:C14" si="1">IF(B6="","",IF(B6&gt;OFFSET(B6,-1,0,1,1),IF(OFFSET(C6,-1,0,1,1)="","1",OFFSET(C6,-1,0,1,1))&amp;REPT(".1",B6-MAX(OFFSET(B6,-1,0,1,1),1)),IF(ISERROR(FIND(".",OFFSET(C6,-1,0,1,1))),REPT("1.",B6-1)&amp;IFERROR(VALUE(OFFSET(C6,-1,0,1,1))+1,"1"),IF(B6=1,"",IFERROR(LEFT(OFFSET(C6,-1,0,1,1),FIND("^",SUBSTITUTE(OFFSET(C6,-1,0,1,1),".","^",B6-1))),""))&amp;VALUE(TRIM(MID(SUBSTITUTE(OFFSET(C6,-1,0,1,1),".",REPT(" ",LEN(OFFSET(C6,-1,0,1,1)))),(B6-1)*LEN(OFFSET(C6,-1,0,1,1))+1,LEN(OFFSET(C6,-1,0,1,1)))))+1)))</f>
        <v>1</v>
      </c>
      <c r="D6" s="24" t="s">
        <v>12</v>
      </c>
      <c r="E6" s="24"/>
      <c r="F6" s="25"/>
      <c r="G6" s="26"/>
      <c r="H6" s="26"/>
      <c r="I6" s="27">
        <f>I7+I8</f>
        <v>7</v>
      </c>
      <c r="J6" s="28"/>
      <c r="K6" s="1"/>
      <c r="L6" s="1"/>
      <c r="M6" s="2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30">
        <v>2.0</v>
      </c>
      <c r="C7" s="23" t="str">
        <f t="shared" si="1"/>
        <v>1.1</v>
      </c>
      <c r="D7" s="24" t="s">
        <v>13</v>
      </c>
      <c r="E7" s="31"/>
      <c r="F7" s="25" t="s">
        <v>14</v>
      </c>
      <c r="G7" s="32">
        <v>45255.0</v>
      </c>
      <c r="H7" s="32">
        <v>45258.0</v>
      </c>
      <c r="I7" s="33">
        <v>4.0</v>
      </c>
      <c r="J7" s="31"/>
      <c r="K7" s="1"/>
      <c r="L7" s="1"/>
      <c r="M7" s="3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30">
        <v>2.0</v>
      </c>
      <c r="C8" s="23" t="str">
        <f t="shared" si="1"/>
        <v>1.2</v>
      </c>
      <c r="D8" s="24" t="s">
        <v>15</v>
      </c>
      <c r="E8" s="31" t="s">
        <v>16</v>
      </c>
      <c r="F8" s="25" t="s">
        <v>14</v>
      </c>
      <c r="G8" s="32">
        <v>45259.0</v>
      </c>
      <c r="H8" s="32">
        <v>45261.0</v>
      </c>
      <c r="I8" s="33">
        <v>3.0</v>
      </c>
      <c r="J8" s="31"/>
      <c r="K8" s="1"/>
      <c r="L8" s="1"/>
      <c r="M8" s="3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30">
        <v>1.0</v>
      </c>
      <c r="C9" s="23" t="str">
        <f t="shared" si="1"/>
        <v>2</v>
      </c>
      <c r="D9" s="24" t="s">
        <v>17</v>
      </c>
      <c r="E9" s="24"/>
      <c r="F9" s="25"/>
      <c r="G9" s="32"/>
      <c r="H9" s="32"/>
      <c r="I9" s="27">
        <v>11.5</v>
      </c>
      <c r="J9" s="31"/>
      <c r="K9" s="1"/>
      <c r="L9" s="1"/>
      <c r="M9" s="3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30">
        <v>2.0</v>
      </c>
      <c r="C10" s="23" t="str">
        <f t="shared" si="1"/>
        <v>2.1</v>
      </c>
      <c r="D10" s="24" t="s">
        <v>18</v>
      </c>
      <c r="E10" s="31" t="s">
        <v>16</v>
      </c>
      <c r="F10" s="25" t="s">
        <v>19</v>
      </c>
      <c r="G10" s="32">
        <v>45264.0</v>
      </c>
      <c r="H10" s="32">
        <v>45268.0</v>
      </c>
      <c r="I10" s="33">
        <v>5.0</v>
      </c>
      <c r="J10" s="31"/>
      <c r="K10" s="1"/>
      <c r="L10" s="1"/>
      <c r="M10" s="3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30">
        <v>3.0</v>
      </c>
      <c r="C11" s="23" t="str">
        <f t="shared" si="1"/>
        <v>2.1.1</v>
      </c>
      <c r="D11" s="24" t="s">
        <v>20</v>
      </c>
      <c r="E11" s="31" t="s">
        <v>16</v>
      </c>
      <c r="F11" s="25" t="s">
        <v>19</v>
      </c>
      <c r="G11" s="32">
        <v>45264.0</v>
      </c>
      <c r="H11" s="32">
        <v>45266.0</v>
      </c>
      <c r="I11" s="33"/>
      <c r="J11" s="31"/>
      <c r="K11" s="1"/>
      <c r="L11" s="1"/>
      <c r="M11" s="3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30">
        <v>3.0</v>
      </c>
      <c r="C12" s="23" t="str">
        <f t="shared" si="1"/>
        <v>2.1.2</v>
      </c>
      <c r="D12" s="24" t="s">
        <v>21</v>
      </c>
      <c r="E12" s="31" t="s">
        <v>16</v>
      </c>
      <c r="F12" s="25" t="s">
        <v>19</v>
      </c>
      <c r="G12" s="32">
        <v>45267.0</v>
      </c>
      <c r="H12" s="32">
        <v>45268.0</v>
      </c>
      <c r="I12" s="33"/>
      <c r="J12" s="31"/>
      <c r="K12" s="1"/>
      <c r="L12" s="1"/>
      <c r="M12" s="3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30">
        <v>2.0</v>
      </c>
      <c r="C13" s="23" t="str">
        <f t="shared" si="1"/>
        <v>2.2</v>
      </c>
      <c r="D13" s="24" t="s">
        <v>22</v>
      </c>
      <c r="E13" s="31"/>
      <c r="F13" s="25" t="s">
        <v>19</v>
      </c>
      <c r="G13" s="32">
        <v>45271.0</v>
      </c>
      <c r="H13" s="32">
        <v>45275.0</v>
      </c>
      <c r="I13" s="33">
        <v>5.0</v>
      </c>
      <c r="J13" s="31"/>
      <c r="K13" s="1"/>
      <c r="L13" s="1"/>
      <c r="M13" s="3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30">
        <v>3.0</v>
      </c>
      <c r="C14" s="23" t="str">
        <f t="shared" si="1"/>
        <v>2.2.1</v>
      </c>
      <c r="D14" s="24" t="s">
        <v>23</v>
      </c>
      <c r="E14" s="31" t="s">
        <v>24</v>
      </c>
      <c r="F14" s="25" t="s">
        <v>19</v>
      </c>
      <c r="G14" s="32">
        <v>45271.0</v>
      </c>
      <c r="H14" s="32">
        <v>45272.0</v>
      </c>
      <c r="I14" s="33"/>
      <c r="J14" s="3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30">
        <v>3.0</v>
      </c>
      <c r="C15" s="23" t="s">
        <v>25</v>
      </c>
      <c r="D15" s="24" t="s">
        <v>26</v>
      </c>
      <c r="E15" s="31" t="s">
        <v>24</v>
      </c>
      <c r="F15" s="25" t="s">
        <v>19</v>
      </c>
      <c r="G15" s="32">
        <v>45273.0</v>
      </c>
      <c r="H15" s="32">
        <v>45275.0</v>
      </c>
      <c r="I15" s="33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30">
        <v>2.0</v>
      </c>
      <c r="C16" s="23" t="s">
        <v>27</v>
      </c>
      <c r="D16" s="24" t="s">
        <v>28</v>
      </c>
      <c r="E16" s="31" t="s">
        <v>29</v>
      </c>
      <c r="F16" s="25" t="s">
        <v>30</v>
      </c>
      <c r="G16" s="32">
        <v>45278.0</v>
      </c>
      <c r="H16" s="32">
        <v>45278.0</v>
      </c>
      <c r="I16" s="27">
        <v>1.5</v>
      </c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30">
        <v>1.0</v>
      </c>
      <c r="C17" s="23">
        <v>3.0</v>
      </c>
      <c r="D17" s="24" t="s">
        <v>31</v>
      </c>
      <c r="E17" s="36"/>
      <c r="F17" s="25"/>
      <c r="G17" s="32"/>
      <c r="H17" s="32"/>
      <c r="I17" s="27">
        <v>5.5</v>
      </c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30">
        <v>2.0</v>
      </c>
      <c r="C18" s="23" t="str">
        <f t="shared" ref="C18:C19" si="2">IF(B18="","",IF(B18&gt;OFFSET(B18,-1,0,1,1),IF(OFFSET(C18,-1,0,1,1)="","1",OFFSET(C18,-1,0,1,1))&amp;REPT(".1",B18-MAX(OFFSET(B18,-1,0,1,1),1)),IF(ISERROR(FIND(".",OFFSET(C18,-1,0,1,1))),REPT("1.",B18-1)&amp;IFERROR(VALUE(OFFSET(C18,-1,0,1,1))+1,"1"),IF(B18=1,"",IFERROR(LEFT(OFFSET(C18,-1,0,1,1),FIND("^",SUBSTITUTE(OFFSET(C18,-1,0,1,1),".","^",B18-1))),""))&amp;VALUE(TRIM(MID(SUBSTITUTE(OFFSET(C18,-1,0,1,1),".",REPT(" ",LEN(OFFSET(C18,-1,0,1,1)))),(B18-1)*LEN(OFFSET(C18,-1,0,1,1))+1,LEN(OFFSET(C18,-1,0,1,1)))))+1)))</f>
        <v>3.1</v>
      </c>
      <c r="D18" s="24" t="s">
        <v>32</v>
      </c>
      <c r="E18" s="31" t="s">
        <v>33</v>
      </c>
      <c r="F18" s="25" t="s">
        <v>34</v>
      </c>
      <c r="G18" s="32">
        <v>45273.0</v>
      </c>
      <c r="H18" s="32">
        <v>45274.0</v>
      </c>
      <c r="I18" s="33">
        <v>2.0</v>
      </c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30">
        <v>2.0</v>
      </c>
      <c r="C19" s="23" t="str">
        <f t="shared" si="2"/>
        <v>3.2</v>
      </c>
      <c r="D19" s="24" t="s">
        <v>35</v>
      </c>
      <c r="E19" s="31" t="s">
        <v>25</v>
      </c>
      <c r="F19" s="25" t="s">
        <v>36</v>
      </c>
      <c r="G19" s="32">
        <v>45279.0</v>
      </c>
      <c r="H19" s="32">
        <v>45279.0</v>
      </c>
      <c r="I19" s="33">
        <v>1.0</v>
      </c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30"/>
      <c r="C20" s="23" t="s">
        <v>37</v>
      </c>
      <c r="D20" s="24" t="s">
        <v>38</v>
      </c>
      <c r="E20" s="31" t="s">
        <v>25</v>
      </c>
      <c r="F20" s="25" t="s">
        <v>36</v>
      </c>
      <c r="G20" s="32">
        <v>45280.0</v>
      </c>
      <c r="H20" s="32">
        <v>45280.0</v>
      </c>
      <c r="I20" s="33">
        <v>1.0</v>
      </c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30">
        <v>2.0</v>
      </c>
      <c r="C21" s="23" t="s">
        <v>39</v>
      </c>
      <c r="D21" s="24" t="s">
        <v>40</v>
      </c>
      <c r="E21" s="31" t="s">
        <v>41</v>
      </c>
      <c r="F21" s="25" t="s">
        <v>42</v>
      </c>
      <c r="G21" s="32">
        <v>45281.0</v>
      </c>
      <c r="H21" s="32">
        <v>45281.0</v>
      </c>
      <c r="I21" s="27">
        <v>1.5</v>
      </c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30">
        <v>1.0</v>
      </c>
      <c r="C22" s="23" t="str">
        <f t="shared" ref="C22:C23" si="3">IF(B22="","",IF(B22&gt;OFFSET(B22,-1,0,1,1),IF(OFFSET(C22,-1,0,1,1)="","1",OFFSET(C22,-1,0,1,1))&amp;REPT(".1",B22-MAX(OFFSET(B22,-1,0,1,1),1)),IF(ISERROR(FIND(".",OFFSET(C22,-1,0,1,1))),REPT("1.",B22-1)&amp;IFERROR(VALUE(OFFSET(C22,-1,0,1,1))+1,"1"),IF(B22=1,"",IFERROR(LEFT(OFFSET(C22,-1,0,1,1),FIND("^",SUBSTITUTE(OFFSET(C22,-1,0,1,1),".","^",B22-1))),""))&amp;VALUE(TRIM(MID(SUBSTITUTE(OFFSET(C22,-1,0,1,1),".",REPT(" ",LEN(OFFSET(C22,-1,0,1,1)))),(B22-1)*LEN(OFFSET(C22,-1,0,1,1))+1,LEN(OFFSET(C22,-1,0,1,1)))))+1)))</f>
        <v>4</v>
      </c>
      <c r="D22" s="24" t="s">
        <v>43</v>
      </c>
      <c r="E22" s="24"/>
      <c r="F22" s="25"/>
      <c r="G22" s="32"/>
      <c r="H22" s="32"/>
      <c r="I22" s="27">
        <v>26.5</v>
      </c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30">
        <v>2.0</v>
      </c>
      <c r="C23" s="37" t="str">
        <f t="shared" si="3"/>
        <v>4.1</v>
      </c>
      <c r="D23" s="38" t="s">
        <v>44</v>
      </c>
      <c r="E23" s="38"/>
      <c r="F23" s="39"/>
      <c r="G23" s="40"/>
      <c r="H23" s="40"/>
      <c r="I23" s="41">
        <f>SUM(I25:I39)</f>
        <v>12</v>
      </c>
      <c r="J23" s="4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30">
        <v>3.0</v>
      </c>
      <c r="C24" s="23" t="s">
        <v>45</v>
      </c>
      <c r="D24" s="25" t="s">
        <v>46</v>
      </c>
      <c r="E24" s="31" t="s">
        <v>47</v>
      </c>
      <c r="F24" s="25" t="s">
        <v>48</v>
      </c>
      <c r="G24" s="32">
        <v>45281.0</v>
      </c>
      <c r="H24" s="32">
        <v>45286.0</v>
      </c>
      <c r="I24" s="43"/>
      <c r="J24" s="31"/>
      <c r="K24" s="1"/>
      <c r="L24" s="1"/>
      <c r="M24" s="2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30">
        <v>4.0</v>
      </c>
      <c r="C25" s="23" t="s">
        <v>49</v>
      </c>
      <c r="D25" s="25" t="s">
        <v>50</v>
      </c>
      <c r="E25" s="31"/>
      <c r="F25" s="25" t="s">
        <v>48</v>
      </c>
      <c r="G25" s="32">
        <v>45281.0</v>
      </c>
      <c r="H25" s="32">
        <v>45281.0</v>
      </c>
      <c r="I25" s="27">
        <v>0.5</v>
      </c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30">
        <v>4.0</v>
      </c>
      <c r="C26" s="23" t="str">
        <f t="shared" ref="C26:C27" si="4">IF(B26="","",IF(B26&gt;OFFSET(B26,-1,0,1,1),IF(OFFSET(C26,-1,0,1,1)="","1",OFFSET(C26,-1,0,1,1))&amp;REPT(".1",B26-MAX(OFFSET(B26,-1,0,1,1),1)),IF(ISERROR(FIND(".",OFFSET(C26,-1,0,1,1))),REPT("1.",B26-1)&amp;IFERROR(VALUE(OFFSET(C26,-1,0,1,1))+1,"1"),IF(B26=1,"",IFERROR(LEFT(OFFSET(C26,-1,0,1,1),FIND("^",SUBSTITUTE(OFFSET(C26,-1,0,1,1),".","^",B26-1))),""))&amp;VALUE(TRIM(MID(SUBSTITUTE(OFFSET(C26,-1,0,1,1),".",REPT(" ",LEN(OFFSET(C26,-1,0,1,1)))),(B26-1)*LEN(OFFSET(C26,-1,0,1,1))+1,LEN(OFFSET(C26,-1,0,1,1)))))+1)))</f>
        <v>4.1.1.2</v>
      </c>
      <c r="D26" s="24" t="s">
        <v>51</v>
      </c>
      <c r="E26" s="31"/>
      <c r="F26" s="25" t="s">
        <v>48</v>
      </c>
      <c r="G26" s="32">
        <v>45281.0</v>
      </c>
      <c r="H26" s="32">
        <v>45281.0</v>
      </c>
      <c r="I26" s="27">
        <v>0.5</v>
      </c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0">
        <v>4.0</v>
      </c>
      <c r="C27" s="23" t="str">
        <f t="shared" si="4"/>
        <v>4.1.1.3</v>
      </c>
      <c r="D27" s="24" t="s">
        <v>52</v>
      </c>
      <c r="E27" s="31"/>
      <c r="F27" s="25" t="s">
        <v>48</v>
      </c>
      <c r="G27" s="32">
        <v>45282.0</v>
      </c>
      <c r="H27" s="32">
        <v>45282.0</v>
      </c>
      <c r="I27" s="27">
        <v>1.0</v>
      </c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30">
        <v>4.0</v>
      </c>
      <c r="C28" s="23" t="s">
        <v>53</v>
      </c>
      <c r="D28" s="24" t="s">
        <v>54</v>
      </c>
      <c r="E28" s="31"/>
      <c r="F28" s="25" t="s">
        <v>48</v>
      </c>
      <c r="G28" s="32">
        <v>45285.0</v>
      </c>
      <c r="H28" s="32">
        <v>45285.0</v>
      </c>
      <c r="I28" s="27">
        <v>0.5</v>
      </c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30">
        <v>4.0</v>
      </c>
      <c r="C29" s="23" t="str">
        <f t="shared" ref="C29:C31" si="5">IF(B29="","",IF(B29&gt;OFFSET(B29,-1,0,1,1),IF(OFFSET(C29,-1,0,1,1)="","1",OFFSET(C29,-1,0,1,1))&amp;REPT(".1",B29-MAX(OFFSET(B29,-1,0,1,1),1)),IF(ISERROR(FIND(".",OFFSET(C29,-1,0,1,1))),REPT("1.",B29-1)&amp;IFERROR(VALUE(OFFSET(C29,-1,0,1,1))+1,"1"),IF(B29=1,"",IFERROR(LEFT(OFFSET(C29,-1,0,1,1),FIND("^",SUBSTITUTE(OFFSET(C29,-1,0,1,1),".","^",B29-1))),""))&amp;VALUE(TRIM(MID(SUBSTITUTE(OFFSET(C29,-1,0,1,1),".",REPT(" ",LEN(OFFSET(C29,-1,0,1,1)))),(B29-1)*LEN(OFFSET(C29,-1,0,1,1))+1,LEN(OFFSET(C29,-1,0,1,1)))))+1)))</f>
        <v>4.1.1.5</v>
      </c>
      <c r="D29" s="24" t="s">
        <v>55</v>
      </c>
      <c r="E29" s="31"/>
      <c r="F29" s="25" t="s">
        <v>48</v>
      </c>
      <c r="G29" s="32">
        <v>45285.0</v>
      </c>
      <c r="H29" s="32">
        <v>45285.0</v>
      </c>
      <c r="I29" s="27">
        <v>0.5</v>
      </c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30">
        <v>4.0</v>
      </c>
      <c r="C30" s="23" t="str">
        <f t="shared" si="5"/>
        <v>4.1.1.6</v>
      </c>
      <c r="D30" s="24" t="s">
        <v>56</v>
      </c>
      <c r="E30" s="31"/>
      <c r="F30" s="25" t="s">
        <v>48</v>
      </c>
      <c r="G30" s="32">
        <v>45286.0</v>
      </c>
      <c r="H30" s="32">
        <v>45286.0</v>
      </c>
      <c r="I30" s="27">
        <v>0.5</v>
      </c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30">
        <v>4.0</v>
      </c>
      <c r="C31" s="23" t="str">
        <f t="shared" si="5"/>
        <v>4.1.1.7</v>
      </c>
      <c r="D31" s="24" t="s">
        <v>57</v>
      </c>
      <c r="E31" s="31"/>
      <c r="F31" s="25" t="s">
        <v>48</v>
      </c>
      <c r="G31" s="32">
        <v>45286.0</v>
      </c>
      <c r="H31" s="32">
        <v>45286.0</v>
      </c>
      <c r="I31" s="27">
        <v>0.5</v>
      </c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30">
        <v>3.0</v>
      </c>
      <c r="C32" s="23" t="s">
        <v>58</v>
      </c>
      <c r="D32" s="25" t="s">
        <v>59</v>
      </c>
      <c r="E32" s="31" t="s">
        <v>47</v>
      </c>
      <c r="F32" s="25" t="s">
        <v>60</v>
      </c>
      <c r="G32" s="32"/>
      <c r="H32" s="32"/>
      <c r="I32" s="27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30">
        <v>4.0</v>
      </c>
      <c r="C33" s="23" t="s">
        <v>61</v>
      </c>
      <c r="D33" s="25" t="s">
        <v>62</v>
      </c>
      <c r="E33" s="31"/>
      <c r="F33" s="25" t="s">
        <v>60</v>
      </c>
      <c r="G33" s="32">
        <v>45281.0</v>
      </c>
      <c r="H33" s="32">
        <v>45281.0</v>
      </c>
      <c r="I33" s="27">
        <v>0.5</v>
      </c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30">
        <v>4.0</v>
      </c>
      <c r="C34" s="23" t="str">
        <f t="shared" ref="C34:C35" si="6">IF(B34="","",IF(B34&gt;OFFSET(B34,-1,0,1,1),IF(OFFSET(C34,-1,0,1,1)="","1",OFFSET(C34,-1,0,1,1))&amp;REPT(".1",B34-MAX(OFFSET(B34,-1,0,1,1),1)),IF(ISERROR(FIND(".",OFFSET(C34,-1,0,1,1))),REPT("1.",B34-1)&amp;IFERROR(VALUE(OFFSET(C34,-1,0,1,1))+1,"1"),IF(B34=1,"",IFERROR(LEFT(OFFSET(C34,-1,0,1,1),FIND("^",SUBSTITUTE(OFFSET(C34,-1,0,1,1),".","^",B34-1))),""))&amp;VALUE(TRIM(MID(SUBSTITUTE(OFFSET(C34,-1,0,1,1),".",REPT(" ",LEN(OFFSET(C34,-1,0,1,1)))),(B34-1)*LEN(OFFSET(C34,-1,0,1,1))+1,LEN(OFFSET(C34,-1,0,1,1)))))+1)))</f>
        <v>4.1.2.2</v>
      </c>
      <c r="D34" s="24" t="s">
        <v>63</v>
      </c>
      <c r="E34" s="31"/>
      <c r="F34" s="25" t="s">
        <v>60</v>
      </c>
      <c r="G34" s="32">
        <v>45281.0</v>
      </c>
      <c r="H34" s="32">
        <v>45281.0</v>
      </c>
      <c r="I34" s="27">
        <v>0.5</v>
      </c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30">
        <v>4.0</v>
      </c>
      <c r="C35" s="23" t="str">
        <f t="shared" si="6"/>
        <v>4.1.2.3</v>
      </c>
      <c r="D35" s="24" t="s">
        <v>64</v>
      </c>
      <c r="E35" s="31"/>
      <c r="F35" s="25" t="s">
        <v>60</v>
      </c>
      <c r="G35" s="32">
        <v>45282.0</v>
      </c>
      <c r="H35" s="32">
        <v>45282.0</v>
      </c>
      <c r="I35" s="27">
        <v>0.5</v>
      </c>
      <c r="J35" s="3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30">
        <v>4.0</v>
      </c>
      <c r="C36" s="23" t="s">
        <v>53</v>
      </c>
      <c r="D36" s="24" t="s">
        <v>65</v>
      </c>
      <c r="E36" s="31"/>
      <c r="F36" s="25" t="s">
        <v>60</v>
      </c>
      <c r="G36" s="32">
        <v>45282.0</v>
      </c>
      <c r="H36" s="32">
        <v>45285.0</v>
      </c>
      <c r="I36" s="27">
        <v>1.5</v>
      </c>
      <c r="J36" s="3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30">
        <v>4.0</v>
      </c>
      <c r="C37" s="23" t="str">
        <f t="shared" ref="C37:C38" si="7">IF(B37="","",IF(B37&gt;OFFSET(B37,-1,0,1,1),IF(OFFSET(C37,-1,0,1,1)="","1",OFFSET(C37,-1,0,1,1))&amp;REPT(".1",B37-MAX(OFFSET(B37,-1,0,1,1),1)),IF(ISERROR(FIND(".",OFFSET(C37,-1,0,1,1))),REPT("1.",B37-1)&amp;IFERROR(VALUE(OFFSET(C37,-1,0,1,1))+1,"1"),IF(B37=1,"",IFERROR(LEFT(OFFSET(C37,-1,0,1,1),FIND("^",SUBSTITUTE(OFFSET(C37,-1,0,1,1),".","^",B37-1))),""))&amp;VALUE(TRIM(MID(SUBSTITUTE(OFFSET(C37,-1,0,1,1),".",REPT(" ",LEN(OFFSET(C37,-1,0,1,1)))),(B37-1)*LEN(OFFSET(C37,-1,0,1,1))+1,LEN(OFFSET(C37,-1,0,1,1)))))+1)))</f>
        <v>4.1.1.5</v>
      </c>
      <c r="D37" s="24" t="s">
        <v>66</v>
      </c>
      <c r="E37" s="31"/>
      <c r="F37" s="25" t="s">
        <v>60</v>
      </c>
      <c r="G37" s="32">
        <v>45286.0</v>
      </c>
      <c r="H37" s="32">
        <v>45286.0</v>
      </c>
      <c r="I37" s="27">
        <v>0.5</v>
      </c>
      <c r="J37" s="3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30">
        <v>4.0</v>
      </c>
      <c r="C38" s="23" t="str">
        <f t="shared" si="7"/>
        <v>4.1.1.6</v>
      </c>
      <c r="D38" s="24" t="s">
        <v>67</v>
      </c>
      <c r="E38" s="31"/>
      <c r="F38" s="25" t="s">
        <v>60</v>
      </c>
      <c r="G38" s="32">
        <v>45286.0</v>
      </c>
      <c r="H38" s="32">
        <v>45286.0</v>
      </c>
      <c r="I38" s="27">
        <v>0.5</v>
      </c>
      <c r="J38" s="3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30"/>
      <c r="C39" s="23" t="s">
        <v>68</v>
      </c>
      <c r="D39" s="24" t="s">
        <v>69</v>
      </c>
      <c r="E39" s="31"/>
      <c r="F39" s="25" t="s">
        <v>70</v>
      </c>
      <c r="G39" s="32">
        <v>45287.0</v>
      </c>
      <c r="H39" s="32">
        <v>45288.0</v>
      </c>
      <c r="I39" s="27">
        <v>4.0</v>
      </c>
      <c r="J39" s="3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30">
        <v>2.0</v>
      </c>
      <c r="C40" s="37" t="s">
        <v>71</v>
      </c>
      <c r="D40" s="38" t="s">
        <v>72</v>
      </c>
      <c r="E40" s="38"/>
      <c r="F40" s="39"/>
      <c r="G40" s="40"/>
      <c r="H40" s="40"/>
      <c r="I40" s="41">
        <f>SUM(I42:I56)</f>
        <v>14.5</v>
      </c>
      <c r="J40" s="4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30">
        <v>3.0</v>
      </c>
      <c r="C41" s="23" t="s">
        <v>73</v>
      </c>
      <c r="D41" s="25" t="s">
        <v>74</v>
      </c>
      <c r="E41" s="31" t="s">
        <v>47</v>
      </c>
      <c r="F41" s="25" t="s">
        <v>48</v>
      </c>
      <c r="G41" s="32"/>
      <c r="H41" s="32"/>
      <c r="I41" s="43"/>
      <c r="J41" s="3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30">
        <v>4.0</v>
      </c>
      <c r="C42" s="23" t="s">
        <v>75</v>
      </c>
      <c r="D42" s="25" t="s">
        <v>76</v>
      </c>
      <c r="E42" s="31"/>
      <c r="F42" s="25" t="s">
        <v>48</v>
      </c>
      <c r="G42" s="32">
        <v>45289.0</v>
      </c>
      <c r="H42" s="32">
        <v>45289.0</v>
      </c>
      <c r="I42" s="27">
        <v>0.5</v>
      </c>
      <c r="J42" s="3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30">
        <v>4.0</v>
      </c>
      <c r="C43" s="23" t="str">
        <f t="shared" ref="C43:C48" si="8">IF(B43="","",IF(B43&gt;OFFSET(B43,-1,0,1,1),IF(OFFSET(C43,-1,0,1,1)="","1",OFFSET(C43,-1,0,1,1))&amp;REPT(".1",B43-MAX(OFFSET(B43,-1,0,1,1),1)),IF(ISERROR(FIND(".",OFFSET(C43,-1,0,1,1))),REPT("1.",B43-1)&amp;IFERROR(VALUE(OFFSET(C43,-1,0,1,1))+1,"1"),IF(B43=1,"",IFERROR(LEFT(OFFSET(C43,-1,0,1,1),FIND("^",SUBSTITUTE(OFFSET(C43,-1,0,1,1),".","^",B43-1))),""))&amp;VALUE(TRIM(MID(SUBSTITUTE(OFFSET(C43,-1,0,1,1),".",REPT(" ",LEN(OFFSET(C43,-1,0,1,1)))),(B43-1)*LEN(OFFSET(C43,-1,0,1,1))+1,LEN(OFFSET(C43,-1,0,1,1)))))+1)))</f>
        <v>4.2.1.2</v>
      </c>
      <c r="D43" s="24" t="s">
        <v>77</v>
      </c>
      <c r="E43" s="31"/>
      <c r="F43" s="25" t="s">
        <v>48</v>
      </c>
      <c r="G43" s="32">
        <v>45289.0</v>
      </c>
      <c r="H43" s="32">
        <v>45289.0</v>
      </c>
      <c r="I43" s="27">
        <v>0.5</v>
      </c>
      <c r="J43" s="3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30">
        <v>4.0</v>
      </c>
      <c r="C44" s="23" t="str">
        <f t="shared" si="8"/>
        <v>4.2.1.3</v>
      </c>
      <c r="D44" s="24" t="s">
        <v>78</v>
      </c>
      <c r="E44" s="31"/>
      <c r="F44" s="25" t="s">
        <v>48</v>
      </c>
      <c r="G44" s="32">
        <v>45293.0</v>
      </c>
      <c r="H44" s="32">
        <v>45293.0</v>
      </c>
      <c r="I44" s="27">
        <v>1.0</v>
      </c>
      <c r="J44" s="3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30">
        <v>4.0</v>
      </c>
      <c r="C45" s="23" t="str">
        <f t="shared" si="8"/>
        <v>4.2.1.4</v>
      </c>
      <c r="D45" s="24" t="s">
        <v>79</v>
      </c>
      <c r="E45" s="31"/>
      <c r="F45" s="25" t="s">
        <v>48</v>
      </c>
      <c r="G45" s="32">
        <v>45294.0</v>
      </c>
      <c r="H45" s="32">
        <v>45294.0</v>
      </c>
      <c r="I45" s="27">
        <v>0.5</v>
      </c>
      <c r="J45" s="3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30">
        <v>4.0</v>
      </c>
      <c r="C46" s="23" t="str">
        <f t="shared" si="8"/>
        <v>4.2.1.5</v>
      </c>
      <c r="D46" s="24" t="s">
        <v>80</v>
      </c>
      <c r="E46" s="31"/>
      <c r="F46" s="25" t="s">
        <v>48</v>
      </c>
      <c r="G46" s="32">
        <v>45294.0</v>
      </c>
      <c r="H46" s="32">
        <v>45294.0</v>
      </c>
      <c r="I46" s="27">
        <v>0.5</v>
      </c>
      <c r="J46" s="3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30">
        <v>4.0</v>
      </c>
      <c r="C47" s="23" t="str">
        <f t="shared" si="8"/>
        <v>4.2.1.6</v>
      </c>
      <c r="D47" s="24" t="s">
        <v>81</v>
      </c>
      <c r="E47" s="31"/>
      <c r="F47" s="25" t="s">
        <v>48</v>
      </c>
      <c r="G47" s="32">
        <v>45295.0</v>
      </c>
      <c r="H47" s="32">
        <v>45295.0</v>
      </c>
      <c r="I47" s="27">
        <v>1.0</v>
      </c>
      <c r="J47" s="3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30">
        <v>4.0</v>
      </c>
      <c r="C48" s="23" t="str">
        <f t="shared" si="8"/>
        <v>4.2.1.7</v>
      </c>
      <c r="D48" s="24" t="s">
        <v>82</v>
      </c>
      <c r="E48" s="31"/>
      <c r="F48" s="25" t="s">
        <v>48</v>
      </c>
      <c r="G48" s="32">
        <v>45296.0</v>
      </c>
      <c r="H48" s="32">
        <v>45296.0</v>
      </c>
      <c r="I48" s="27">
        <v>0.5</v>
      </c>
      <c r="J48" s="3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30">
        <v>3.0</v>
      </c>
      <c r="C49" s="23" t="s">
        <v>83</v>
      </c>
      <c r="D49" s="25" t="s">
        <v>84</v>
      </c>
      <c r="E49" s="31" t="s">
        <v>47</v>
      </c>
      <c r="F49" s="25" t="s">
        <v>60</v>
      </c>
      <c r="G49" s="32"/>
      <c r="H49" s="32"/>
      <c r="I49" s="27"/>
      <c r="J49" s="3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30">
        <v>4.0</v>
      </c>
      <c r="C50" s="23" t="s">
        <v>85</v>
      </c>
      <c r="D50" s="25" t="s">
        <v>86</v>
      </c>
      <c r="E50" s="31"/>
      <c r="F50" s="25" t="s">
        <v>60</v>
      </c>
      <c r="G50" s="32">
        <v>45289.0</v>
      </c>
      <c r="H50" s="32">
        <v>45289.0</v>
      </c>
      <c r="I50" s="27">
        <v>0.5</v>
      </c>
      <c r="J50" s="3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30">
        <v>4.0</v>
      </c>
      <c r="C51" s="23" t="str">
        <f t="shared" ref="C51:C52" si="9">IF(B51="","",IF(B51&gt;OFFSET(B51,-1,0,1,1),IF(OFFSET(C51,-1,0,1,1)="","1",OFFSET(C51,-1,0,1,1))&amp;REPT(".1",B51-MAX(OFFSET(B51,-1,0,1,1),1)),IF(ISERROR(FIND(".",OFFSET(C51,-1,0,1,1))),REPT("1.",B51-1)&amp;IFERROR(VALUE(OFFSET(C51,-1,0,1,1))+1,"1"),IF(B51=1,"",IFERROR(LEFT(OFFSET(C51,-1,0,1,1),FIND("^",SUBSTITUTE(OFFSET(C51,-1,0,1,1),".","^",B51-1))),""))&amp;VALUE(TRIM(MID(SUBSTITUTE(OFFSET(C51,-1,0,1,1),".",REPT(" ",LEN(OFFSET(C51,-1,0,1,1)))),(B51-1)*LEN(OFFSET(C51,-1,0,1,1))+1,LEN(OFFSET(C51,-1,0,1,1)))))+1)))</f>
        <v>4.2.2.2</v>
      </c>
      <c r="D51" s="24" t="s">
        <v>87</v>
      </c>
      <c r="E51" s="31"/>
      <c r="F51" s="25" t="s">
        <v>60</v>
      </c>
      <c r="G51" s="32">
        <v>45293.0</v>
      </c>
      <c r="H51" s="32">
        <v>45293.0</v>
      </c>
      <c r="I51" s="27">
        <v>1.0</v>
      </c>
      <c r="J51" s="3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30">
        <v>3.0</v>
      </c>
      <c r="C52" s="23" t="str">
        <f t="shared" si="9"/>
        <v>4.2.3</v>
      </c>
      <c r="D52" s="24" t="s">
        <v>88</v>
      </c>
      <c r="E52" s="31" t="s">
        <v>47</v>
      </c>
      <c r="F52" s="25" t="s">
        <v>60</v>
      </c>
      <c r="G52" s="32"/>
      <c r="H52" s="32"/>
      <c r="I52" s="27"/>
      <c r="J52" s="3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30">
        <v>4.0</v>
      </c>
      <c r="C53" s="23" t="s">
        <v>89</v>
      </c>
      <c r="D53" s="24" t="s">
        <v>90</v>
      </c>
      <c r="E53" s="31"/>
      <c r="F53" s="25" t="s">
        <v>60</v>
      </c>
      <c r="G53" s="32">
        <v>45294.0</v>
      </c>
      <c r="H53" s="32">
        <v>45294.0</v>
      </c>
      <c r="I53" s="27">
        <v>1.0</v>
      </c>
      <c r="J53" s="3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30">
        <v>4.0</v>
      </c>
      <c r="C54" s="23" t="str">
        <f t="shared" ref="C54:C55" si="10">IF(B54="","",IF(B54&gt;OFFSET(B54,-1,0,1,1),IF(OFFSET(C54,-1,0,1,1)="","1",OFFSET(C54,-1,0,1,1))&amp;REPT(".1",B54-MAX(OFFSET(B54,-1,0,1,1),1)),IF(ISERROR(FIND(".",OFFSET(C54,-1,0,1,1))),REPT("1.",B54-1)&amp;IFERROR(VALUE(OFFSET(C54,-1,0,1,1))+1,"1"),IF(B54=1,"",IFERROR(LEFT(OFFSET(C54,-1,0,1,1),FIND("^",SUBSTITUTE(OFFSET(C54,-1,0,1,1),".","^",B54-1))),""))&amp;VALUE(TRIM(MID(SUBSTITUTE(OFFSET(C54,-1,0,1,1),".",REPT(" ",LEN(OFFSET(C54,-1,0,1,1)))),(B54-1)*LEN(OFFSET(C54,-1,0,1,1))+1,LEN(OFFSET(C54,-1,0,1,1)))))+1)))</f>
        <v>4.2.3.2</v>
      </c>
      <c r="D54" s="24" t="s">
        <v>91</v>
      </c>
      <c r="E54" s="31"/>
      <c r="F54" s="25" t="s">
        <v>60</v>
      </c>
      <c r="G54" s="32">
        <v>45295.0</v>
      </c>
      <c r="H54" s="32">
        <v>45295.0</v>
      </c>
      <c r="I54" s="27">
        <v>1.0</v>
      </c>
      <c r="J54" s="3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30">
        <v>4.0</v>
      </c>
      <c r="C55" s="23" t="str">
        <f t="shared" si="10"/>
        <v>4.2.3.3</v>
      </c>
      <c r="D55" s="24" t="s">
        <v>92</v>
      </c>
      <c r="E55" s="31"/>
      <c r="F55" s="25" t="s">
        <v>60</v>
      </c>
      <c r="G55" s="32">
        <v>45296.0</v>
      </c>
      <c r="H55" s="32">
        <v>45296.0</v>
      </c>
      <c r="I55" s="27">
        <v>0.5</v>
      </c>
      <c r="J55" s="3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30">
        <v>3.0</v>
      </c>
      <c r="C56" s="23" t="s">
        <v>93</v>
      </c>
      <c r="D56" s="24" t="s">
        <v>94</v>
      </c>
      <c r="E56" s="31"/>
      <c r="F56" s="25" t="s">
        <v>70</v>
      </c>
      <c r="G56" s="32">
        <v>45299.0</v>
      </c>
      <c r="H56" s="32">
        <v>44936.0</v>
      </c>
      <c r="I56" s="27">
        <v>6.0</v>
      </c>
      <c r="J56" s="3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30">
        <v>1.0</v>
      </c>
      <c r="C57" s="23" t="str">
        <f>IF(B57="","",IF(B57&gt;OFFSET(B57,-1,0,1,1),IF(OFFSET(C57,-1,0,1,1)="","1",OFFSET(C57,-1,0,1,1))&amp;REPT(".1",B57-MAX(OFFSET(B57,-1,0,1,1),1)),IF(ISERROR(FIND(".",OFFSET(C57,-1,0,1,1))),REPT("1.",B57-1)&amp;IFERROR(VALUE(OFFSET(C57,-1,0,1,1))+1,"1"),IF(B57=1,"",IFERROR(LEFT(OFFSET(C57,-1,0,1,1),FIND("^",SUBSTITUTE(OFFSET(C57,-1,0,1,1),".","^",B57-1))),""))&amp;VALUE(TRIM(MID(SUBSTITUTE(OFFSET(C57,-1,0,1,1),".",REPT(" ",LEN(OFFSET(C57,-1,0,1,1)))),(B57-1)*LEN(OFFSET(C57,-1,0,1,1))+1,LEN(OFFSET(C57,-1,0,1,1)))))+1)))</f>
        <v>5</v>
      </c>
      <c r="D57" s="24" t="s">
        <v>95</v>
      </c>
      <c r="E57" s="24"/>
      <c r="F57" s="25"/>
      <c r="G57" s="32"/>
      <c r="H57" s="32"/>
      <c r="I57" s="27">
        <f>SUM(I58:I63)</f>
        <v>13</v>
      </c>
      <c r="J57" s="3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30">
        <v>2.0</v>
      </c>
      <c r="C58" s="23" t="s">
        <v>96</v>
      </c>
      <c r="D58" s="25" t="s">
        <v>97</v>
      </c>
      <c r="E58" s="31" t="s">
        <v>98</v>
      </c>
      <c r="F58" s="25" t="s">
        <v>36</v>
      </c>
      <c r="G58" s="32">
        <v>45264.0</v>
      </c>
      <c r="H58" s="32">
        <v>45264.0</v>
      </c>
      <c r="I58" s="27">
        <v>1.0</v>
      </c>
      <c r="J58" s="3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30">
        <v>2.0</v>
      </c>
      <c r="C59" s="23" t="s">
        <v>99</v>
      </c>
      <c r="D59" s="25" t="s">
        <v>100</v>
      </c>
      <c r="E59" s="31" t="s">
        <v>27</v>
      </c>
      <c r="F59" s="25" t="s">
        <v>36</v>
      </c>
      <c r="G59" s="32">
        <v>45279.0</v>
      </c>
      <c r="H59" s="32">
        <v>45281.0</v>
      </c>
      <c r="I59" s="27">
        <v>3.0</v>
      </c>
      <c r="J59" s="3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30">
        <v>2.0</v>
      </c>
      <c r="C60" s="23" t="s">
        <v>101</v>
      </c>
      <c r="D60" s="24" t="s">
        <v>102</v>
      </c>
      <c r="E60" s="31" t="s">
        <v>103</v>
      </c>
      <c r="F60" s="25" t="s">
        <v>36</v>
      </c>
      <c r="G60" s="32">
        <v>45287.0</v>
      </c>
      <c r="H60" s="32">
        <v>45289.0</v>
      </c>
      <c r="I60" s="27">
        <v>3.0</v>
      </c>
      <c r="J60" s="3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30"/>
      <c r="C61" s="23" t="s">
        <v>104</v>
      </c>
      <c r="D61" s="24" t="s">
        <v>105</v>
      </c>
      <c r="E61" s="31" t="s">
        <v>71</v>
      </c>
      <c r="F61" s="25" t="s">
        <v>36</v>
      </c>
      <c r="G61" s="32">
        <v>45299.0</v>
      </c>
      <c r="H61" s="32">
        <v>45301.0</v>
      </c>
      <c r="I61" s="27">
        <v>3.0</v>
      </c>
      <c r="J61" s="3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30">
        <v>2.0</v>
      </c>
      <c r="C62" s="23" t="s">
        <v>106</v>
      </c>
      <c r="D62" s="24" t="s">
        <v>107</v>
      </c>
      <c r="E62" s="31" t="s">
        <v>108</v>
      </c>
      <c r="F62" s="25" t="s">
        <v>36</v>
      </c>
      <c r="G62" s="32">
        <v>45302.0</v>
      </c>
      <c r="H62" s="32">
        <v>45303.0</v>
      </c>
      <c r="I62" s="27">
        <v>2.0</v>
      </c>
      <c r="J62" s="3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30">
        <v>2.0</v>
      </c>
      <c r="C63" s="23" t="s">
        <v>109</v>
      </c>
      <c r="D63" s="44" t="s">
        <v>110</v>
      </c>
      <c r="E63" s="31" t="s">
        <v>106</v>
      </c>
      <c r="F63" s="25" t="s">
        <v>36</v>
      </c>
      <c r="G63" s="32">
        <v>45306.0</v>
      </c>
      <c r="H63" s="32">
        <v>45306.0</v>
      </c>
      <c r="I63" s="27">
        <v>1.0</v>
      </c>
      <c r="J63" s="3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30">
        <v>1.0</v>
      </c>
      <c r="C64" s="23" t="str">
        <f>IF(B64="","",IF(B64&gt;OFFSET(B64,-1,0,1,1),IF(OFFSET(C64,-1,0,1,1)="","1",OFFSET(C64,-1,0,1,1))&amp;REPT(".1",B64-MAX(OFFSET(B64,-1,0,1,1),1)),IF(ISERROR(FIND(".",OFFSET(C64,-1,0,1,1))),REPT("1.",B64-1)&amp;IFERROR(VALUE(OFFSET(C64,-1,0,1,1))+1,"1"),IF(B64=1,"",IFERROR(LEFT(OFFSET(C64,-1,0,1,1),FIND("^",SUBSTITUTE(OFFSET(C64,-1,0,1,1),".","^",B64-1))),""))&amp;VALUE(TRIM(MID(SUBSTITUTE(OFFSET(C64,-1,0,1,1),".",REPT(" ",LEN(OFFSET(C64,-1,0,1,1)))),(B64-1)*LEN(OFFSET(C64,-1,0,1,1))+1,LEN(OFFSET(C64,-1,0,1,1)))))+1)))</f>
        <v>6</v>
      </c>
      <c r="D64" s="24" t="s">
        <v>111</v>
      </c>
      <c r="E64" s="24"/>
      <c r="F64" s="25"/>
      <c r="G64" s="32"/>
      <c r="H64" s="32"/>
      <c r="I64" s="33">
        <f>SUM(I65:I71)</f>
        <v>5.4</v>
      </c>
      <c r="J64" s="3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30">
        <v>2.0</v>
      </c>
      <c r="C65" s="23" t="s">
        <v>112</v>
      </c>
      <c r="D65" s="25" t="s">
        <v>113</v>
      </c>
      <c r="E65" s="31" t="s">
        <v>16</v>
      </c>
      <c r="F65" s="25" t="s">
        <v>114</v>
      </c>
      <c r="G65" s="32"/>
      <c r="H65" s="32">
        <v>45281.0</v>
      </c>
      <c r="I65" s="27">
        <v>1.0</v>
      </c>
      <c r="J65" s="3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30">
        <v>2.0</v>
      </c>
      <c r="C66" s="23" t="s">
        <v>115</v>
      </c>
      <c r="D66" s="25" t="s">
        <v>116</v>
      </c>
      <c r="E66" s="31" t="s">
        <v>112</v>
      </c>
      <c r="F66" s="25" t="s">
        <v>117</v>
      </c>
      <c r="G66" s="32">
        <v>45282.0</v>
      </c>
      <c r="H66" s="32">
        <v>45282.0</v>
      </c>
      <c r="I66" s="27">
        <v>1.0</v>
      </c>
      <c r="J66" s="3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30">
        <v>2.0</v>
      </c>
      <c r="C67" s="23" t="s">
        <v>118</v>
      </c>
      <c r="D67" s="24" t="s">
        <v>119</v>
      </c>
      <c r="E67" s="31" t="s">
        <v>120</v>
      </c>
      <c r="F67" s="25" t="s">
        <v>117</v>
      </c>
      <c r="G67" s="32">
        <v>45286.0</v>
      </c>
      <c r="H67" s="32">
        <v>45286.0</v>
      </c>
      <c r="I67" s="27">
        <v>0.2</v>
      </c>
      <c r="J67" s="3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30"/>
      <c r="C68" s="23"/>
      <c r="D68" s="24" t="s">
        <v>121</v>
      </c>
      <c r="E68" s="31"/>
      <c r="F68" s="25"/>
      <c r="G68" s="32"/>
      <c r="H68" s="32"/>
      <c r="I68" s="27"/>
      <c r="J68" s="3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30">
        <v>2.0</v>
      </c>
      <c r="C69" s="23" t="s">
        <v>122</v>
      </c>
      <c r="D69" s="24" t="s">
        <v>123</v>
      </c>
      <c r="E69" s="31" t="s">
        <v>124</v>
      </c>
      <c r="F69" s="25" t="s">
        <v>117</v>
      </c>
      <c r="G69" s="32">
        <v>44931.0</v>
      </c>
      <c r="H69" s="32">
        <v>44931.0</v>
      </c>
      <c r="I69" s="27">
        <v>0.2</v>
      </c>
      <c r="J69" s="3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30">
        <v>2.0</v>
      </c>
      <c r="C70" s="23" t="s">
        <v>125</v>
      </c>
      <c r="D70" s="24" t="s">
        <v>126</v>
      </c>
      <c r="E70" s="31" t="s">
        <v>106</v>
      </c>
      <c r="F70" s="25" t="s">
        <v>117</v>
      </c>
      <c r="G70" s="32">
        <v>45307.0</v>
      </c>
      <c r="H70" s="32">
        <v>45307.0</v>
      </c>
      <c r="I70" s="27">
        <v>1.0</v>
      </c>
      <c r="J70" s="3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30">
        <v>2.0</v>
      </c>
      <c r="C71" s="23" t="s">
        <v>127</v>
      </c>
      <c r="D71" s="24" t="s">
        <v>128</v>
      </c>
      <c r="E71" s="31" t="s">
        <v>122</v>
      </c>
      <c r="F71" s="25" t="s">
        <v>36</v>
      </c>
      <c r="G71" s="32">
        <v>45308.0</v>
      </c>
      <c r="H71" s="32">
        <v>44944.0</v>
      </c>
      <c r="I71" s="27">
        <v>2.0</v>
      </c>
      <c r="J71" s="3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30">
        <v>2.0</v>
      </c>
      <c r="C72" s="23"/>
      <c r="D72" s="24"/>
      <c r="E72" s="31"/>
      <c r="F72" s="25"/>
      <c r="G72" s="32"/>
      <c r="H72" s="32"/>
      <c r="I72" s="27"/>
      <c r="J72" s="3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45">
        <f>SUM(I64,I57,I40,I22,I9,I6)</f>
        <v>77.9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B6:J72">
    <cfRule type="expression" dxfId="0" priority="1">
      <formula>($B6=1)</formula>
    </cfRule>
  </conditionalFormatting>
  <dataValidations>
    <dataValidation type="list" allowBlank="1" sqref="B6:B72">
      <formula1>"1,2,3,4,5,6"</formula1>
    </dataValidation>
  </dataValidations>
  <printOptions horizontalCentered="1"/>
  <pageMargins bottom="0.5" footer="0.0" header="0.0" left="0.35" right="0.35" top="0.4"/>
  <pageSetup orientation="landscape"/>
  <headerFooter>
    <oddFooter>&amp;L01+047WBS Template © 2017 Vertex42 LLC&amp;R01+047https://www.vertex42.com/ExcelTemplates/work-breakdown-structure.html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2010-06-09T16:05:03Z</dcterms:created>
  <dc:creator>Vertex42.com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1.0.1</vt:lpwstr>
  </property>
</Properties>
</file>